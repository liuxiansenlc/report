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应多\2-佳土项目\2026系统项目\刘聪需要逻辑整理\AI改良报告\"/>
    </mc:Choice>
  </mc:AlternateContent>
  <xr:revisionPtr revIDLastSave="0" documentId="13_ncr:1_{B4A5255A-6A6D-4836-9E5F-595A652A5C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换算校正后氮磷钾比例" sheetId="3" r:id="rId1"/>
    <sheet name="校正有机质计算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G2" i="3"/>
  <c r="G3" i="3"/>
  <c r="G4" i="3"/>
</calcChain>
</file>

<file path=xl/sharedStrings.xml><?xml version="1.0" encoding="utf-8"?>
<sst xmlns="http://schemas.openxmlformats.org/spreadsheetml/2006/main" count="14" uniqueCount="12">
  <si>
    <t>钾</t>
    <phoneticPr fontId="1" type="noConversion"/>
  </si>
  <si>
    <t>磷</t>
    <phoneticPr fontId="1" type="noConversion"/>
  </si>
  <si>
    <t>氮</t>
    <phoneticPr fontId="1" type="noConversion"/>
  </si>
  <si>
    <t>校正值</t>
    <phoneticPr fontId="1" type="noConversion"/>
  </si>
  <si>
    <t>施用生物有机肥量</t>
    <phoneticPr fontId="1" type="noConversion"/>
  </si>
  <si>
    <t>施用生物有机肥单位提升量</t>
    <phoneticPr fontId="1" type="noConversion"/>
  </si>
  <si>
    <t>施用有机肥量</t>
    <phoneticPr fontId="1" type="noConversion"/>
  </si>
  <si>
    <t>施用有机肥单位提升量</t>
    <phoneticPr fontId="1" type="noConversion"/>
  </si>
  <si>
    <t>有机质</t>
    <phoneticPr fontId="1" type="noConversion"/>
  </si>
  <si>
    <t>使用生物有机肥提升单位量</t>
    <phoneticPr fontId="1" type="noConversion"/>
  </si>
  <si>
    <t>原有有机质</t>
    <phoneticPr fontId="1" type="noConversion"/>
  </si>
  <si>
    <t>原有的含量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</si>
</sst>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C2FC-0F63-4C94-9172-9DD51FD21A0C}">
  <dimension ref="A1:G4"/>
  <sheetViews>
    <sheetView tabSelected="1" workbookViewId="0">
      <selection activeCell="C18" sqref="C18"/>
    </sheetView>
  </sheetViews>
  <sheetFormatPr defaultRowHeight="14" x14ac:dyDescent="0.3"/>
  <cols>
    <col min="3" max="3" width="19.83203125" customWidth="1"/>
    <col min="4" max="4" width="14.58203125" customWidth="1"/>
    <col min="5" max="5" width="26.83203125" customWidth="1"/>
    <col min="6" max="6" width="23.9140625" customWidth="1"/>
  </cols>
  <sheetData>
    <row r="1" spans="1:7" x14ac:dyDescent="0.3">
      <c r="B1" t="s">
        <v>11</v>
      </c>
      <c r="C1" s="1" t="s">
        <v>7</v>
      </c>
      <c r="D1" t="s">
        <v>6</v>
      </c>
      <c r="E1" s="1" t="s">
        <v>5</v>
      </c>
      <c r="F1" t="s">
        <v>4</v>
      </c>
      <c r="G1" s="1" t="s">
        <v>3</v>
      </c>
    </row>
    <row r="2" spans="1:7" x14ac:dyDescent="0.3">
      <c r="A2" t="s">
        <v>2</v>
      </c>
      <c r="B2">
        <v>176</v>
      </c>
      <c r="C2">
        <v>15</v>
      </c>
      <c r="D2">
        <v>312</v>
      </c>
      <c r="E2">
        <v>15</v>
      </c>
      <c r="F2">
        <v>50</v>
      </c>
      <c r="G2">
        <f>B2+C2*D2/100+E2*F2/100</f>
        <v>230.3</v>
      </c>
    </row>
    <row r="3" spans="1:7" x14ac:dyDescent="0.3">
      <c r="A3" t="s">
        <v>1</v>
      </c>
      <c r="B3">
        <v>8.6</v>
      </c>
      <c r="C3">
        <v>8</v>
      </c>
      <c r="D3">
        <v>312</v>
      </c>
      <c r="E3">
        <v>8</v>
      </c>
      <c r="F3">
        <v>50</v>
      </c>
      <c r="G3">
        <f>B3+C3*D3/100+E3*F3/100</f>
        <v>37.56</v>
      </c>
    </row>
    <row r="4" spans="1:7" x14ac:dyDescent="0.3">
      <c r="A4" t="s">
        <v>0</v>
      </c>
      <c r="B4">
        <v>265</v>
      </c>
      <c r="C4">
        <v>10</v>
      </c>
      <c r="D4">
        <v>312</v>
      </c>
      <c r="E4">
        <v>10</v>
      </c>
      <c r="F4">
        <v>50</v>
      </c>
      <c r="G4">
        <f>B4+C4*D4/100+E4*F4/100</f>
        <v>301.2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209D-84AE-4F62-9139-0F2A36C1E4A6}">
  <dimension ref="A1:E2"/>
  <sheetViews>
    <sheetView workbookViewId="0">
      <selection activeCell="D6" sqref="D6"/>
    </sheetView>
  </sheetViews>
  <sheetFormatPr defaultRowHeight="14" x14ac:dyDescent="0.3"/>
  <cols>
    <col min="3" max="3" width="29.33203125" customWidth="1"/>
    <col min="4" max="4" width="15.6640625" customWidth="1"/>
  </cols>
  <sheetData>
    <row r="1" spans="1:5" x14ac:dyDescent="0.3">
      <c r="B1" t="s">
        <v>10</v>
      </c>
      <c r="C1" t="s">
        <v>9</v>
      </c>
      <c r="D1" t="s">
        <v>6</v>
      </c>
      <c r="E1" t="s">
        <v>3</v>
      </c>
    </row>
    <row r="2" spans="1:5" x14ac:dyDescent="0.3">
      <c r="A2" t="s">
        <v>8</v>
      </c>
      <c r="B2">
        <v>25.5</v>
      </c>
      <c r="C2">
        <v>1.25</v>
      </c>
      <c r="D2">
        <v>50</v>
      </c>
      <c r="E2">
        <f>B2+C2*D2/100</f>
        <v>26.125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换算校正后氮磷钾比例</vt:lpstr>
      <vt:lpstr>校正有机质计算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</dc:creator>
  <cp:lastModifiedBy>Peng Li</cp:lastModifiedBy>
  <dcterms:created xsi:type="dcterms:W3CDTF">2015-06-05T18:19:34Z</dcterms:created>
  <dcterms:modified xsi:type="dcterms:W3CDTF">2026-06-23T06:50:07Z</dcterms:modified>
</cp:coreProperties>
</file>